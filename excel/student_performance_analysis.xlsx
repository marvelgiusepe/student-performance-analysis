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rvel\ACADEMIC\DATA SCIENCE\student-performance-analysis\"/>
    </mc:Choice>
  </mc:AlternateContent>
  <xr:revisionPtr revIDLastSave="0" documentId="13_ncr:1_{331A2BED-B473-4A38-9901-220A2707E67D}" xr6:coauthVersionLast="47" xr6:coauthVersionMax="47" xr10:uidLastSave="{00000000-0000-0000-0000-000000000000}"/>
  <bookViews>
    <workbookView xWindow="-110" yWindow="-110" windowWidth="19420" windowHeight="11500" firstSheet="5" activeTab="7" xr2:uid="{C16CFF3D-E1EA-4D2D-90B6-97668F4414CE}"/>
  </bookViews>
  <sheets>
    <sheet name="Raw Data" sheetId="1" r:id="rId1"/>
    <sheet name="Cleaned Data" sheetId="3" r:id="rId2"/>
    <sheet name="Analysis" sheetId="4" r:id="rId3"/>
    <sheet name="Gender Analysis" sheetId="5" r:id="rId4"/>
    <sheet name="Study Hours Analysis" sheetId="6" r:id="rId5"/>
    <sheet name="Attendance Analysis" sheetId="7" r:id="rId6"/>
    <sheet name="Performance Analysis" sheetId="8" r:id="rId7"/>
    <sheet name="Dashboard" sheetId="9" r:id="rId8"/>
  </sheets>
  <calcPr calcId="191029"/>
  <pivotCaches>
    <pivotCache cacheId="13" r:id="rId9"/>
    <pivotCache cacheId="17" r:id="rId10"/>
    <pivotCache cacheId="24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3" l="1"/>
  <c r="K4" i="3"/>
  <c r="K5" i="3"/>
  <c r="K6" i="3"/>
  <c r="K7" i="3"/>
  <c r="K8" i="3"/>
  <c r="K9" i="3"/>
  <c r="K10" i="3"/>
  <c r="K11" i="3"/>
  <c r="K12" i="3"/>
  <c r="K13" i="3"/>
  <c r="K14" i="3"/>
  <c r="K2" i="3"/>
  <c r="J3" i="3"/>
  <c r="J4" i="3"/>
  <c r="J5" i="3"/>
  <c r="J6" i="3"/>
  <c r="J7" i="3"/>
  <c r="J8" i="3"/>
  <c r="J9" i="3"/>
  <c r="J10" i="3"/>
  <c r="J11" i="3"/>
  <c r="J12" i="3"/>
  <c r="J13" i="3"/>
  <c r="J14" i="3"/>
  <c r="J2" i="3"/>
  <c r="I3" i="3"/>
  <c r="I4" i="3"/>
  <c r="I5" i="3"/>
  <c r="I6" i="3"/>
  <c r="I7" i="3"/>
  <c r="I8" i="3"/>
  <c r="I9" i="3"/>
  <c r="I10" i="3"/>
  <c r="I11" i="3"/>
  <c r="I12" i="3"/>
  <c r="I13" i="3"/>
  <c r="I14" i="3"/>
  <c r="I2" i="3"/>
  <c r="H3" i="3"/>
  <c r="H4" i="3"/>
  <c r="H5" i="3"/>
  <c r="H6" i="3"/>
  <c r="H7" i="3"/>
  <c r="H8" i="3"/>
  <c r="H9" i="3"/>
  <c r="H10" i="3"/>
  <c r="H11" i="3"/>
  <c r="H12" i="3"/>
  <c r="H13" i="3"/>
  <c r="H14" i="3"/>
  <c r="H2" i="3"/>
  <c r="F14" i="3"/>
</calcChain>
</file>

<file path=xl/sharedStrings.xml><?xml version="1.0" encoding="utf-8"?>
<sst xmlns="http://schemas.openxmlformats.org/spreadsheetml/2006/main" count="123" uniqueCount="60">
  <si>
    <t>Student ID</t>
  </si>
  <si>
    <t>Gender</t>
  </si>
  <si>
    <t>Study Hours per Week</t>
  </si>
  <si>
    <t>Attendance (%)</t>
  </si>
  <si>
    <t>Math Score</t>
  </si>
  <si>
    <t>English Score</t>
  </si>
  <si>
    <t>Science Score</t>
  </si>
  <si>
    <t>ST001</t>
  </si>
  <si>
    <t>Male</t>
  </si>
  <si>
    <t>4.5</t>
  </si>
  <si>
    <t>ST002</t>
  </si>
  <si>
    <t>Female</t>
  </si>
  <si>
    <t>6.0</t>
  </si>
  <si>
    <t>ST003</t>
  </si>
  <si>
    <t>2.0</t>
  </si>
  <si>
    <t>ST004</t>
  </si>
  <si>
    <t>5.5</t>
  </si>
  <si>
    <t>ST005</t>
  </si>
  <si>
    <t>3.0</t>
  </si>
  <si>
    <t>ST006</t>
  </si>
  <si>
    <t>7.0</t>
  </si>
  <si>
    <t>ST007</t>
  </si>
  <si>
    <t>4.0</t>
  </si>
  <si>
    <t>ST008</t>
  </si>
  <si>
    <t>2.5</t>
  </si>
  <si>
    <t>ST009</t>
  </si>
  <si>
    <t>5.0</t>
  </si>
  <si>
    <t>ST010</t>
  </si>
  <si>
    <t>3.5</t>
  </si>
  <si>
    <t>ST011</t>
  </si>
  <si>
    <t>female</t>
  </si>
  <si>
    <t>ST012</t>
  </si>
  <si>
    <t>ST013</t>
  </si>
  <si>
    <t>Average Score</t>
  </si>
  <si>
    <t>Performance</t>
  </si>
  <si>
    <t>Average of Math Score</t>
  </si>
  <si>
    <t>Average of English Score</t>
  </si>
  <si>
    <t>Average of Average Score</t>
  </si>
  <si>
    <t>Row Labels</t>
  </si>
  <si>
    <t>Grand Total</t>
  </si>
  <si>
    <t>Female students have a higher average overall score than male students in this dataset.</t>
  </si>
  <si>
    <t>Study Hours Group</t>
  </si>
  <si>
    <t>&gt; 5 hours</t>
  </si>
  <si>
    <t>3–5 hours</t>
  </si>
  <si>
    <t>&lt; 3 hours</t>
  </si>
  <si>
    <t>Students who studied more hours per week tended to have higher average scores in this dataset.</t>
  </si>
  <si>
    <t>Attendance Group</t>
  </si>
  <si>
    <t>&lt; 85%</t>
  </si>
  <si>
    <t>≥ 95%</t>
  </si>
  <si>
    <t>85–94%</t>
  </si>
  <si>
    <t>Column Labels</t>
  </si>
  <si>
    <t>Average</t>
  </si>
  <si>
    <t>Excellent</t>
  </si>
  <si>
    <t>Good</t>
  </si>
  <si>
    <t>Total Average of Average Score</t>
  </si>
  <si>
    <t>Total Count of Student ID</t>
  </si>
  <si>
    <t>Count of Student ID</t>
  </si>
  <si>
    <t>Attendance Row Labels</t>
  </si>
  <si>
    <t>In this dataset, the group with ≥95% attendance had the highest average score, and all its students fell into the "Very Good" category.</t>
  </si>
  <si>
    <t>Study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</si>
</sst>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" fontId="0" fillId="0" borderId="0" xfId="0" applyNumberFormat="1"/>
    <xf numFmtId="1" fontId="0" fillId="0" borderId="0" xfId="0" applyNumberFormat="1" applyAlignment="1">
      <alignment horizontal="right" vertical="center" wrapText="1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[student_performance_analysis.xlsx]Analysis!PivotTable1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Analysis!$A$3</c:f>
              <c:strCache>
                <c:ptCount val="1"/>
                <c:pt idx="0">
                  <c:v>Average of Math 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Analysis!$A$4</c:f>
              <c:numCache>
                <c:formatCode>General</c:formatCode>
                <c:ptCount val="1"/>
                <c:pt idx="0">
                  <c:v>82.230769230769226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5F-4EAD-9201-88D68794035D}"/>
            </c:ext>
          </c:extLst>
        </c:ser>
        <c:ser>
          <c:idx val="1"/>
          <c:order val="1"/>
          <c:tx>
            <c:strRef>
              <c:f>Analysis!$B$3</c:f>
              <c:strCache>
                <c:ptCount val="1"/>
                <c:pt idx="0">
                  <c:v>Average of English Score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Analysis!$B$4</c:f>
              <c:numCache>
                <c:formatCode>General</c:formatCode>
                <c:ptCount val="1"/>
                <c:pt idx="0">
                  <c:v>81.083333333333329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5F-4EAD-9201-88D68794035D}"/>
            </c:ext>
          </c:extLst>
        </c:ser>
        <c:ser>
          <c:idx val="2"/>
          <c:order val="2"/>
          <c:tx>
            <c:strRef>
              <c:f>Analysis!$C$3</c:f>
              <c:strCache>
                <c:ptCount val="1"/>
                <c:pt idx="0">
                  <c:v>Average of Average Score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Analysis!$A$4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Analysis!$C$4</c:f>
              <c:numCache>
                <c:formatCode>0</c:formatCode>
                <c:ptCount val="1"/>
                <c:pt idx="0">
                  <c:v>84.155448717948715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C5F-4EAD-9201-88D6879403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2517632"/>
        <c:axId val="495769776"/>
      </c:barChart>
      <c:catAx>
        <c:axId val="572517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769776"/>
        <c:crosses val="autoZero"/>
        <c:auto val="1"/>
        <c:lblAlgn val="ctr"/>
        <c:lblOffset val="100"/>
        <c:noMultiLvlLbl val="0"/>
      </c:catAx>
      <c:valAx>
        <c:axId val="495769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517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[student_performance_analysis.xlsx]Gender Analysis!PivotTable2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'Gender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'Gender Analysis'!$A$4:$A$6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'Gender Analysis'!$B$4:$B$6</c:f>
              <c:numCache>
                <c:formatCode>0</c:formatCode>
                <c:ptCount val="2"/>
                <c:pt idx="0">
                  <c:v>85.217261904761912</c:v>
                </c:pt>
                <c:pt idx="1">
                  <c:v>82.916666666666671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E6-40C1-8BFD-50FE9F90E7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9520320"/>
        <c:axId val="495795216"/>
      </c:barChart>
      <c:catAx>
        <c:axId val="509520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795216"/>
        <c:crosses val="autoZero"/>
        <c:auto val="1"/>
        <c:lblAlgn val="ctr"/>
        <c:lblOffset val="100"/>
        <c:noMultiLvlLbl val="0"/>
      </c:catAx>
      <c:valAx>
        <c:axId val="495795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9520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[student_performance_analysis.xlsx]Study Hours Analysis!PivotTable3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'Study Hours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'Study Hours Analysis'!$A$4:$A$7</c:f>
              <c:strCache>
                <c:ptCount val="3"/>
                <c:pt idx="0">
                  <c:v>&gt; 5 hours</c:v>
                </c:pt>
                <c:pt idx="1">
                  <c:v>3–5 hours</c:v>
                </c:pt>
                <c:pt idx="2">
                  <c:v>&lt; 3 hours</c:v>
                </c:pt>
              </c:strCache>
            </c:strRef>
          </c:cat>
          <c:val>
            <c:numRef>
              <c:f>'Study Hours Analysis'!$B$4:$B$7</c:f>
              <c:numCache>
                <c:formatCode>0</c:formatCode>
                <c:ptCount val="3"/>
                <c:pt idx="0">
                  <c:v>91.2</c:v>
                </c:pt>
                <c:pt idx="1">
                  <c:v>82.336805555555557</c:v>
                </c:pt>
                <c:pt idx="2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91-4429-B857-81065F6EBB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7740224"/>
        <c:axId val="495754896"/>
      </c:barChart>
      <c:catAx>
        <c:axId val="517740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754896"/>
        <c:crosses val="autoZero"/>
        <c:auto val="1"/>
        <c:lblAlgn val="ctr"/>
        <c:lblOffset val="100"/>
        <c:noMultiLvlLbl val="0"/>
      </c:catAx>
      <c:valAx>
        <c:axId val="495754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740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[student_performance_analysis.xlsx]Attendance Analysis!PivotTable4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'Attendance Analysis'!$B$3:$B$5</c:f>
              <c:strCache>
                <c:ptCount val="1"/>
                <c:pt idx="0">
                  <c:v>Average - Average of Average 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'Attendance Analysis'!$A$6:$A$9</c:f>
              <c:strCache>
                <c:ptCount val="3"/>
                <c:pt idx="0">
                  <c:v>&lt; 85%</c:v>
                </c:pt>
                <c:pt idx="1">
                  <c:v>≥ 95%</c:v>
                </c:pt>
                <c:pt idx="2">
                  <c:v>85–94%</c:v>
                </c:pt>
              </c:strCache>
            </c:strRef>
          </c:cat>
          <c:val>
            <c:numRef>
              <c:f>'Attendance Analysis'!$B$6:$B$9</c:f>
              <c:numCache>
                <c:formatCode>0</c:formatCode>
                <c:ptCount val="3"/>
                <c:pt idx="0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72-4777-B88C-C3BD4E98AC09}"/>
            </c:ext>
          </c:extLst>
        </c:ser>
        <c:ser>
          <c:idx val="1"/>
          <c:order val="1"/>
          <c:tx>
            <c:strRef>
              <c:f>'Attendance Analysis'!$C$3:$C$5</c:f>
              <c:strCache>
                <c:ptCount val="1"/>
                <c:pt idx="0">
                  <c:v>Average - Count of Student 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'Attendance Analysis'!$A$6:$A$9</c:f>
              <c:strCache>
                <c:ptCount val="3"/>
                <c:pt idx="0">
                  <c:v>&lt; 85%</c:v>
                </c:pt>
                <c:pt idx="1">
                  <c:v>≥ 95%</c:v>
                </c:pt>
                <c:pt idx="2">
                  <c:v>85–94%</c:v>
                </c:pt>
              </c:strCache>
            </c:strRef>
          </c:cat>
          <c:val>
            <c:numRef>
              <c:f>'Attendance Analysis'!$C$6:$C$9</c:f>
              <c:numCache>
                <c:formatCode>General</c:formatCode>
                <c:ptCount val="3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72-4777-B88C-C3BD4E98AC09}"/>
            </c:ext>
          </c:extLst>
        </c:ser>
        <c:ser>
          <c:idx val="2"/>
          <c:order val="2"/>
          <c:tx>
            <c:strRef>
              <c:f>'Attendance Analysis'!$D$3:$D$5</c:f>
              <c:strCache>
                <c:ptCount val="1"/>
                <c:pt idx="0">
                  <c:v>Excellent - Average of Average Score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'Attendance Analysis'!$A$6:$A$9</c:f>
              <c:strCache>
                <c:ptCount val="3"/>
                <c:pt idx="0">
                  <c:v>&lt; 85%</c:v>
                </c:pt>
                <c:pt idx="1">
                  <c:v>≥ 95%</c:v>
                </c:pt>
                <c:pt idx="2">
                  <c:v>85–94%</c:v>
                </c:pt>
              </c:strCache>
            </c:strRef>
          </c:cat>
          <c:val>
            <c:numRef>
              <c:f>'Attendance Analysis'!$D$6:$D$9</c:f>
              <c:numCache>
                <c:formatCode>0</c:formatCode>
                <c:ptCount val="3"/>
                <c:pt idx="1">
                  <c:v>92.5</c:v>
                </c:pt>
                <c:pt idx="2">
                  <c:v>87.3125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B72-4777-B88C-C3BD4E98AC09}"/>
            </c:ext>
          </c:extLst>
        </c:ser>
        <c:ser>
          <c:idx val="3"/>
          <c:order val="3"/>
          <c:tx>
            <c:strRef>
              <c:f>'Attendance Analysis'!$E$3:$E$5</c:f>
              <c:strCache>
                <c:ptCount val="1"/>
                <c:pt idx="0">
                  <c:v>Excellent - Count of Student ID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'Attendance Analysis'!$A$6:$A$9</c:f>
              <c:strCache>
                <c:ptCount val="3"/>
                <c:pt idx="0">
                  <c:v>&lt; 85%</c:v>
                </c:pt>
                <c:pt idx="1">
                  <c:v>≥ 95%</c:v>
                </c:pt>
                <c:pt idx="2">
                  <c:v>85–94%</c:v>
                </c:pt>
              </c:strCache>
            </c:strRef>
          </c:cat>
          <c:val>
            <c:numRef>
              <c:f>'Attendance Analysis'!$E$6:$E$9</c:f>
              <c:numCache>
                <c:formatCode>General</c:formatCode>
                <c:ptCount val="3"/>
                <c:pt idx="1">
                  <c:v>3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B72-4777-B88C-C3BD4E98AC09}"/>
            </c:ext>
          </c:extLst>
        </c:ser>
        <c:ser>
          <c:idx val="4"/>
          <c:order val="4"/>
          <c:tx>
            <c:strRef>
              <c:f>'Attendance Analysis'!$F$3:$F$5</c:f>
              <c:strCache>
                <c:ptCount val="1"/>
                <c:pt idx="0">
                  <c:v>Good - Average of Average Score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'Attendance Analysis'!$A$6:$A$9</c:f>
              <c:strCache>
                <c:ptCount val="3"/>
                <c:pt idx="0">
                  <c:v>&lt; 85%</c:v>
                </c:pt>
                <c:pt idx="1">
                  <c:v>≥ 95%</c:v>
                </c:pt>
                <c:pt idx="2">
                  <c:v>85–94%</c:v>
                </c:pt>
              </c:strCache>
            </c:strRef>
          </c:cat>
          <c:val>
            <c:numRef>
              <c:f>'Attendance Analysis'!$F$6:$F$9</c:f>
              <c:numCache>
                <c:formatCode>0</c:formatCode>
                <c:ptCount val="3"/>
                <c:pt idx="2">
                  <c:v>80.817708333333329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B72-4777-B88C-C3BD4E98AC09}"/>
            </c:ext>
          </c:extLst>
        </c:ser>
        <c:ser>
          <c:idx val="5"/>
          <c:order val="5"/>
          <c:tx>
            <c:strRef>
              <c:f>'Attendance Analysis'!$G$3:$G$5</c:f>
              <c:strCache>
                <c:ptCount val="1"/>
                <c:pt idx="0">
                  <c:v>Good - Count of Student ID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'Attendance Analysis'!$A$6:$A$9</c:f>
              <c:strCache>
                <c:ptCount val="3"/>
                <c:pt idx="0">
                  <c:v>&lt; 85%</c:v>
                </c:pt>
                <c:pt idx="1">
                  <c:v>≥ 95%</c:v>
                </c:pt>
                <c:pt idx="2">
                  <c:v>85–94%</c:v>
                </c:pt>
              </c:strCache>
            </c:strRef>
          </c:cat>
          <c:val>
            <c:numRef>
              <c:f>'Attendance Analysis'!$G$6:$G$9</c:f>
              <c:numCache>
                <c:formatCode>General</c:formatCode>
                <c:ptCount val="3"/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B72-4777-B88C-C3BD4E98AC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8472016"/>
        <c:axId val="495755376"/>
      </c:barChart>
      <c:catAx>
        <c:axId val="518472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755376"/>
        <c:crosses val="autoZero"/>
        <c:auto val="1"/>
        <c:lblAlgn val="ctr"/>
        <c:lblOffset val="100"/>
        <c:noMultiLvlLbl val="0"/>
      </c:catAx>
      <c:valAx>
        <c:axId val="495755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472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[student_performance_analysis.xlsx]Performance Analysis!PivotTable6</c:name>
    <c:fmtId val="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'Performance Analysis'!$B$3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'Performance Analysis'!$A$4:$A$7</c:f>
              <c:strCache>
                <c:ptCount val="3"/>
                <c:pt idx="0">
                  <c:v>Average</c:v>
                </c:pt>
                <c:pt idx="1">
                  <c:v>Excellent</c:v>
                </c:pt>
                <c:pt idx="2">
                  <c:v>Good</c:v>
                </c:pt>
              </c:strCache>
            </c:strRef>
          </c:cat>
          <c:val>
            <c:numRef>
              <c:f>'Performance Analysis'!$B$4:$B$7</c:f>
              <c:numCache>
                <c:formatCode>General</c:formatCode>
                <c:ptCount val="3"/>
                <c:pt idx="0">
                  <c:v>2</c:v>
                </c:pt>
                <c:pt idx="1">
                  <c:v>7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69-437D-AF43-F01C21BE75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[student_performance_analysis.xlsx]Analysis!PivotTable1</c:name>
    <c:fmtId val="18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Analysis!$A$3</c:f>
              <c:strCache>
                <c:ptCount val="1"/>
                <c:pt idx="0">
                  <c:v>Average of Math 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Analysis!$A$4</c:f>
              <c:numCache>
                <c:formatCode>General</c:formatCode>
                <c:ptCount val="1"/>
                <c:pt idx="0">
                  <c:v>82.230769230769226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CB-435D-8DF1-0B831F39A734}"/>
            </c:ext>
          </c:extLst>
        </c:ser>
        <c:ser>
          <c:idx val="1"/>
          <c:order val="1"/>
          <c:tx>
            <c:strRef>
              <c:f>Analysis!$B$3</c:f>
              <c:strCache>
                <c:ptCount val="1"/>
                <c:pt idx="0">
                  <c:v>Average of English Score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Analysis!$B$4</c:f>
              <c:numCache>
                <c:formatCode>General</c:formatCode>
                <c:ptCount val="1"/>
                <c:pt idx="0">
                  <c:v>81.083333333333329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CB-435D-8DF1-0B831F39A734}"/>
            </c:ext>
          </c:extLst>
        </c:ser>
        <c:ser>
          <c:idx val="2"/>
          <c:order val="2"/>
          <c:tx>
            <c:strRef>
              <c:f>Analysis!$C$3</c:f>
              <c:strCache>
                <c:ptCount val="1"/>
                <c:pt idx="0">
                  <c:v>Average of Average Score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Analysis!$A$4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Analysis!$C$4</c:f>
              <c:numCache>
                <c:formatCode>0</c:formatCode>
                <c:ptCount val="1"/>
                <c:pt idx="0">
                  <c:v>84.155448717948715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4CB-435D-8DF1-0B831F39A7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2517632"/>
        <c:axId val="495769776"/>
      </c:barChart>
      <c:catAx>
        <c:axId val="572517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769776"/>
        <c:crosses val="autoZero"/>
        <c:auto val="1"/>
        <c:lblAlgn val="ctr"/>
        <c:lblOffset val="100"/>
        <c:noMultiLvlLbl val="0"/>
      </c:catAx>
      <c:valAx>
        <c:axId val="495769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517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[student_performance_analysis.xlsx]Study Hours Analysis!PivotTable3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'Study Hours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'Study Hours Analysis'!$A$4:$A$7</c:f>
              <c:strCache>
                <c:ptCount val="3"/>
                <c:pt idx="0">
                  <c:v>&gt; 5 hours</c:v>
                </c:pt>
                <c:pt idx="1">
                  <c:v>3–5 hours</c:v>
                </c:pt>
                <c:pt idx="2">
                  <c:v>&lt; 3 hours</c:v>
                </c:pt>
              </c:strCache>
            </c:strRef>
          </c:cat>
          <c:val>
            <c:numRef>
              <c:f>'Study Hours Analysis'!$B$4:$B$7</c:f>
              <c:numCache>
                <c:formatCode>0</c:formatCode>
                <c:ptCount val="3"/>
                <c:pt idx="0">
                  <c:v>91.2</c:v>
                </c:pt>
                <c:pt idx="1">
                  <c:v>82.336805555555557</c:v>
                </c:pt>
                <c:pt idx="2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2B-4436-9A9C-DAEA8160FE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7740224"/>
        <c:axId val="495754896"/>
      </c:barChart>
      <c:catAx>
        <c:axId val="517740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754896"/>
        <c:crosses val="autoZero"/>
        <c:auto val="1"/>
        <c:lblAlgn val="ctr"/>
        <c:lblOffset val="100"/>
        <c:noMultiLvlLbl val="0"/>
      </c:catAx>
      <c:valAx>
        <c:axId val="495754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740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[student_performance_analysis.xlsx]Attendance Analysis!PivotTable4</c:name>
    <c:fmtId val="9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'Attendance Analysis'!$B$3:$B$5</c:f>
              <c:strCache>
                <c:ptCount val="1"/>
                <c:pt idx="0">
                  <c:v>Average - Average of Average 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'Attendance Analysis'!$A$6:$A$9</c:f>
              <c:strCache>
                <c:ptCount val="3"/>
                <c:pt idx="0">
                  <c:v>&lt; 85%</c:v>
                </c:pt>
                <c:pt idx="1">
                  <c:v>≥ 95%</c:v>
                </c:pt>
                <c:pt idx="2">
                  <c:v>85–94%</c:v>
                </c:pt>
              </c:strCache>
            </c:strRef>
          </c:cat>
          <c:val>
            <c:numRef>
              <c:f>'Attendance Analysis'!$B$6:$B$9</c:f>
              <c:numCache>
                <c:formatCode>0</c:formatCode>
                <c:ptCount val="3"/>
                <c:pt idx="0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B2-4C1E-A6DA-5F8B4D5FEE73}"/>
            </c:ext>
          </c:extLst>
        </c:ser>
        <c:ser>
          <c:idx val="1"/>
          <c:order val="1"/>
          <c:tx>
            <c:strRef>
              <c:f>'Attendance Analysis'!$C$3:$C$5</c:f>
              <c:strCache>
                <c:ptCount val="1"/>
                <c:pt idx="0">
                  <c:v>Average - Count of Student 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'Attendance Analysis'!$A$6:$A$9</c:f>
              <c:strCache>
                <c:ptCount val="3"/>
                <c:pt idx="0">
                  <c:v>&lt; 85%</c:v>
                </c:pt>
                <c:pt idx="1">
                  <c:v>≥ 95%</c:v>
                </c:pt>
                <c:pt idx="2">
                  <c:v>85–94%</c:v>
                </c:pt>
              </c:strCache>
            </c:strRef>
          </c:cat>
          <c:val>
            <c:numRef>
              <c:f>'Attendance Analysis'!$C$6:$C$9</c:f>
              <c:numCache>
                <c:formatCode>General</c:formatCode>
                <c:ptCount val="3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B2-4C1E-A6DA-5F8B4D5FEE73}"/>
            </c:ext>
          </c:extLst>
        </c:ser>
        <c:ser>
          <c:idx val="2"/>
          <c:order val="2"/>
          <c:tx>
            <c:strRef>
              <c:f>'Attendance Analysis'!$D$3:$D$5</c:f>
              <c:strCache>
                <c:ptCount val="1"/>
                <c:pt idx="0">
                  <c:v>Excellent - Average of Average Score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'Attendance Analysis'!$A$6:$A$9</c:f>
              <c:strCache>
                <c:ptCount val="3"/>
                <c:pt idx="0">
                  <c:v>&lt; 85%</c:v>
                </c:pt>
                <c:pt idx="1">
                  <c:v>≥ 95%</c:v>
                </c:pt>
                <c:pt idx="2">
                  <c:v>85–94%</c:v>
                </c:pt>
              </c:strCache>
            </c:strRef>
          </c:cat>
          <c:val>
            <c:numRef>
              <c:f>'Attendance Analysis'!$D$6:$D$9</c:f>
              <c:numCache>
                <c:formatCode>0</c:formatCode>
                <c:ptCount val="3"/>
                <c:pt idx="1">
                  <c:v>92.5</c:v>
                </c:pt>
                <c:pt idx="2">
                  <c:v>87.3125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0B2-4C1E-A6DA-5F8B4D5FEE73}"/>
            </c:ext>
          </c:extLst>
        </c:ser>
        <c:ser>
          <c:idx val="3"/>
          <c:order val="3"/>
          <c:tx>
            <c:strRef>
              <c:f>'Attendance Analysis'!$E$3:$E$5</c:f>
              <c:strCache>
                <c:ptCount val="1"/>
                <c:pt idx="0">
                  <c:v>Excellent - Count of Student ID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'Attendance Analysis'!$A$6:$A$9</c:f>
              <c:strCache>
                <c:ptCount val="3"/>
                <c:pt idx="0">
                  <c:v>&lt; 85%</c:v>
                </c:pt>
                <c:pt idx="1">
                  <c:v>≥ 95%</c:v>
                </c:pt>
                <c:pt idx="2">
                  <c:v>85–94%</c:v>
                </c:pt>
              </c:strCache>
            </c:strRef>
          </c:cat>
          <c:val>
            <c:numRef>
              <c:f>'Attendance Analysis'!$E$6:$E$9</c:f>
              <c:numCache>
                <c:formatCode>General</c:formatCode>
                <c:ptCount val="3"/>
                <c:pt idx="1">
                  <c:v>3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0B2-4C1E-A6DA-5F8B4D5FEE73}"/>
            </c:ext>
          </c:extLst>
        </c:ser>
        <c:ser>
          <c:idx val="4"/>
          <c:order val="4"/>
          <c:tx>
            <c:strRef>
              <c:f>'Attendance Analysis'!$F$3:$F$5</c:f>
              <c:strCache>
                <c:ptCount val="1"/>
                <c:pt idx="0">
                  <c:v>Good - Average of Average Score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'Attendance Analysis'!$A$6:$A$9</c:f>
              <c:strCache>
                <c:ptCount val="3"/>
                <c:pt idx="0">
                  <c:v>&lt; 85%</c:v>
                </c:pt>
                <c:pt idx="1">
                  <c:v>≥ 95%</c:v>
                </c:pt>
                <c:pt idx="2">
                  <c:v>85–94%</c:v>
                </c:pt>
              </c:strCache>
            </c:strRef>
          </c:cat>
          <c:val>
            <c:numRef>
              <c:f>'Attendance Analysis'!$F$6:$F$9</c:f>
              <c:numCache>
                <c:formatCode>0</c:formatCode>
                <c:ptCount val="3"/>
                <c:pt idx="2">
                  <c:v>80.817708333333329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0B2-4C1E-A6DA-5F8B4D5FEE73}"/>
            </c:ext>
          </c:extLst>
        </c:ser>
        <c:ser>
          <c:idx val="5"/>
          <c:order val="5"/>
          <c:tx>
            <c:strRef>
              <c:f>'Attendance Analysis'!$G$3:$G$5</c:f>
              <c:strCache>
                <c:ptCount val="1"/>
                <c:pt idx="0">
                  <c:v>Good - Count of Student ID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'Attendance Analysis'!$A$6:$A$9</c:f>
              <c:strCache>
                <c:ptCount val="3"/>
                <c:pt idx="0">
                  <c:v>&lt; 85%</c:v>
                </c:pt>
                <c:pt idx="1">
                  <c:v>≥ 95%</c:v>
                </c:pt>
                <c:pt idx="2">
                  <c:v>85–94%</c:v>
                </c:pt>
              </c:strCache>
            </c:strRef>
          </c:cat>
          <c:val>
            <c:numRef>
              <c:f>'Attendance Analysis'!$G$6:$G$9</c:f>
              <c:numCache>
                <c:formatCode>General</c:formatCode>
                <c:ptCount val="3"/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0B2-4C1E-A6DA-5F8B4D5FEE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8472016"/>
        <c:axId val="495755376"/>
      </c:barChart>
      <c:catAx>
        <c:axId val="518472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755376"/>
        <c:crosses val="autoZero"/>
        <c:auto val="1"/>
        <c:lblAlgn val="ctr"/>
        <c:lblOffset val="100"/>
        <c:noMultiLvlLbl val="0"/>
      </c:catAx>
      <c:valAx>
        <c:axId val="495755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472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[student_performance_analysis.xlsx]Performance Analysis!PivotTable6</c:name>
    <c:fmtId val="1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'Performance Analysis'!$B$3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D9E-4535-802C-C337E191017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D9E-4535-802C-C337E191017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D9E-4535-802C-C337E1910176}"/>
              </c:ext>
            </c:extLst>
          </c:dPt>
          <c:cat>
            <c:strRef>
              <c:f>'Performance Analysis'!$A$4:$A$7</c:f>
              <c:strCache>
                <c:ptCount val="3"/>
                <c:pt idx="0">
                  <c:v>Average</c:v>
                </c:pt>
                <c:pt idx="1">
                  <c:v>Excellent</c:v>
                </c:pt>
                <c:pt idx="2">
                  <c:v>Good</c:v>
                </c:pt>
              </c:strCache>
            </c:strRef>
          </c:cat>
          <c:val>
            <c:numRef>
              <c:f>'Performance Analysis'!$B$4:$B$7</c:f>
              <c:numCache>
                <c:formatCode>General</c:formatCode>
                <c:ptCount val="3"/>
                <c:pt idx="0">
                  <c:v>2</c:v>
                </c:pt>
                <c:pt idx="1">
                  <c:v>7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D9E-4535-802C-C337E19101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4</xdr:row>
      <xdr:rowOff>107950</xdr:rowOff>
    </xdr:from>
    <xdr:to>
      <xdr:col>3</xdr:col>
      <xdr:colOff>212725</xdr:colOff>
      <xdr:row>19</xdr:row>
      <xdr:rowOff>88900</xdr:rowOff>
    </xdr:to>
    <xdr:graphicFrame macro="">
      <xdr:nvGraphicFramePr>
        <xdr:cNvPr id="2" name="Average Score by Subject">
          <a:extLst>
            <a:ext uri="{FF2B5EF4-FFF2-40B4-BE49-F238E27FC236}">
              <a16:creationId xmlns:a16="http://schemas.microsoft.com/office/drawing/2014/main" id="{F0E80FBC-91B0-A9A8-AC62-24DC255CD7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7</xdr:row>
      <xdr:rowOff>31750</xdr:rowOff>
    </xdr:from>
    <xdr:to>
      <xdr:col>5</xdr:col>
      <xdr:colOff>349250</xdr:colOff>
      <xdr:row>22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0B5044-33B6-EB57-FD56-C27F6920CE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22225</xdr:colOff>
      <xdr:row>8</xdr:row>
      <xdr:rowOff>25400</xdr:rowOff>
    </xdr:from>
    <xdr:to>
      <xdr:col>5</xdr:col>
      <xdr:colOff>352425</xdr:colOff>
      <xdr:row>23</xdr:row>
      <xdr:rowOff>6350</xdr:rowOff>
    </xdr:to>
    <xdr:graphicFrame macro="">
      <xdr:nvGraphicFramePr>
        <xdr:cNvPr id="2" name="Average Score by Study Hours">
          <a:extLst>
            <a:ext uri="{FF2B5EF4-FFF2-40B4-BE49-F238E27FC236}">
              <a16:creationId xmlns:a16="http://schemas.microsoft.com/office/drawing/2014/main" id="{C0067A6F-4C64-5FBF-20EE-492D5A01CD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53975</xdr:colOff>
      <xdr:row>10</xdr:row>
      <xdr:rowOff>63500</xdr:rowOff>
    </xdr:from>
    <xdr:to>
      <xdr:col>3</xdr:col>
      <xdr:colOff>800100</xdr:colOff>
      <xdr:row>23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ADC0040-1C81-F24B-E64C-2B0E3EC87B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409575</xdr:colOff>
      <xdr:row>1</xdr:row>
      <xdr:rowOff>120650</xdr:rowOff>
    </xdr:from>
    <xdr:to>
      <xdr:col>10</xdr:col>
      <xdr:colOff>104775</xdr:colOff>
      <xdr:row>16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C3F7FF-E051-80BE-222A-988BF848BD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5</xdr:col>
      <xdr:colOff>495300</xdr:colOff>
      <xdr:row>14</xdr:row>
      <xdr:rowOff>139700</xdr:rowOff>
    </xdr:to>
    <xdr:graphicFrame macro="">
      <xdr:nvGraphicFramePr>
        <xdr:cNvPr id="2" name="Average Score by Subject">
          <a:extLst>
            <a:ext uri="{FF2B5EF4-FFF2-40B4-BE49-F238E27FC236}">
              <a16:creationId xmlns:a16="http://schemas.microsoft.com/office/drawing/2014/main" id="{C0BD60BA-A95B-4C9A-91D7-976E2FA5E8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</xdr:row>
      <xdr:rowOff>0</xdr:rowOff>
    </xdr:from>
    <xdr:to>
      <xdr:col>12</xdr:col>
      <xdr:colOff>107950</xdr:colOff>
      <xdr:row>14</xdr:row>
      <xdr:rowOff>133350</xdr:rowOff>
    </xdr:to>
    <xdr:graphicFrame macro="">
      <xdr:nvGraphicFramePr>
        <xdr:cNvPr id="3" name="Average Score by Study Hours">
          <a:extLst>
            <a:ext uri="{FF2B5EF4-FFF2-40B4-BE49-F238E27FC236}">
              <a16:creationId xmlns:a16="http://schemas.microsoft.com/office/drawing/2014/main" id="{C8BDBA27-E151-4A32-AD44-DFF962C64A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</xdr:colOff>
      <xdr:row>15</xdr:row>
      <xdr:rowOff>31750</xdr:rowOff>
    </xdr:from>
    <xdr:to>
      <xdr:col>5</xdr:col>
      <xdr:colOff>425451</xdr:colOff>
      <xdr:row>28</xdr:row>
      <xdr:rowOff>88900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62486A4-9FDF-4583-80D6-1A81312C9D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15</xdr:row>
      <xdr:rowOff>0</xdr:rowOff>
    </xdr:from>
    <xdr:to>
      <xdr:col>12</xdr:col>
      <xdr:colOff>88900</xdr:colOff>
      <xdr:row>28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B858359-767A-4CB0-87D4-E195890DEB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253.135140162034" createdVersion="8" refreshedVersion="8" minRefreshableVersion="3" recordCount="13" xr:uid="{1D5263E5-3EA8-41CC-8A9F-1B705046872F}">
  <cacheSource type="worksheet">
    <worksheetSource ref="A1:J14" sheet="Cleaned Data"/>
  </cacheSource>
  <cacheFields count="10">
    <cacheField name="Student ID" numFmtId="0">
      <sharedItems/>
    </cacheField>
    <cacheField name="Gender" numFmtId="0">
      <sharedItems/>
    </cacheField>
    <cacheField name="Study Hours per Week" numFmtId="0">
      <sharedItems containsSemiMixedTypes="0" containsString="0" containsNumber="1" minValue="2" maxValue="7"/>
    </cacheField>
    <cacheField name="Attendance (%)" numFmtId="0">
      <sharedItems containsSemiMixedTypes="0" containsString="0" containsNumber="1" containsInteger="1" minValue="78" maxValue="98"/>
    </cacheField>
    <cacheField name="Math Score" numFmtId="0">
      <sharedItems containsSemiMixedTypes="0" containsString="0" containsNumber="1" containsInteger="1" minValue="65" maxValue="95"/>
    </cacheField>
    <cacheField name="English Score" numFmtId="0">
      <sharedItems containsSemiMixedTypes="0" containsString="0" containsNumber="1" minValue="69" maxValue="92"/>
    </cacheField>
    <cacheField name="Science Score" numFmtId="0">
      <sharedItems containsSemiMixedTypes="0" containsString="0" containsNumber="1" containsInteger="1" minValue="68" maxValue="96"/>
    </cacheField>
    <cacheField name="Average Score" numFmtId="1">
      <sharedItems containsSemiMixedTypes="0" containsString="0" containsNumber="1" minValue="71" maxValue="95"/>
    </cacheField>
    <cacheField name="Performance" numFmtId="0">
      <sharedItems/>
    </cacheField>
    <cacheField name="Study Hours Group" numFmtId="0">
      <sharedItems count="3">
        <s v="3–5 hours"/>
        <s v="&gt; 5 hours"/>
        <s v="&lt; 3 hour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253.135140393519" createdVersion="8" refreshedVersion="8" minRefreshableVersion="3" recordCount="13" xr:uid="{1C6D9C5B-0ECC-4803-A881-FB1B01667D95}">
  <cacheSource type="worksheet">
    <worksheetSource ref="A1:I14" sheet="Cleaned Data"/>
  </cacheSource>
  <cacheFields count="9">
    <cacheField name="Student ID" numFmtId="0">
      <sharedItems/>
    </cacheField>
    <cacheField name="Gender" numFmtId="0">
      <sharedItems count="2">
        <s v="Male"/>
        <s v="Female"/>
      </sharedItems>
    </cacheField>
    <cacheField name="Study Hours per Week" numFmtId="0">
      <sharedItems containsSemiMixedTypes="0" containsString="0" containsNumber="1" minValue="2" maxValue="7"/>
    </cacheField>
    <cacheField name="Attendance (%)" numFmtId="0">
      <sharedItems containsSemiMixedTypes="0" containsString="0" containsNumber="1" containsInteger="1" minValue="78" maxValue="98"/>
    </cacheField>
    <cacheField name="Math Score" numFmtId="0">
      <sharedItems containsSemiMixedTypes="0" containsString="0" containsNumber="1" containsInteger="1" minValue="65" maxValue="95"/>
    </cacheField>
    <cacheField name="English Score" numFmtId="0">
      <sharedItems containsSemiMixedTypes="0" containsString="0" containsNumber="1" minValue="69" maxValue="92"/>
    </cacheField>
    <cacheField name="Science Score" numFmtId="0">
      <sharedItems containsSemiMixedTypes="0" containsString="0" containsNumber="1" containsInteger="1" minValue="68" maxValue="96"/>
    </cacheField>
    <cacheField name="Average Score" numFmtId="1">
      <sharedItems containsSemiMixedTypes="0" containsString="0" containsNumber="1" minValue="71" maxValue="95"/>
    </cacheField>
    <cacheField name="Performanc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253.136956134258" createdVersion="8" refreshedVersion="8" minRefreshableVersion="3" recordCount="13" xr:uid="{B4997302-AD03-4E9A-8002-CCA6FA2968BD}">
  <cacheSource type="worksheet">
    <worksheetSource ref="A1:K14" sheet="Cleaned Data"/>
  </cacheSource>
  <cacheFields count="11">
    <cacheField name="Student ID" numFmtId="0">
      <sharedItems/>
    </cacheField>
    <cacheField name="Gender" numFmtId="0">
      <sharedItems/>
    </cacheField>
    <cacheField name="Study Hours per Week" numFmtId="0">
      <sharedItems containsSemiMixedTypes="0" containsString="0" containsNumber="1" minValue="2" maxValue="7"/>
    </cacheField>
    <cacheField name="Attendance (%)" numFmtId="0">
      <sharedItems containsSemiMixedTypes="0" containsString="0" containsNumber="1" containsInteger="1" minValue="78" maxValue="98" count="13">
        <n v="92"/>
        <n v="96"/>
        <n v="81"/>
        <n v="94"/>
        <n v="85"/>
        <n v="98"/>
        <n v="89"/>
        <n v="78"/>
        <n v="93"/>
        <n v="87"/>
        <n v="91"/>
        <n v="95"/>
        <n v="88"/>
      </sharedItems>
    </cacheField>
    <cacheField name="Math Score" numFmtId="0">
      <sharedItems containsSemiMixedTypes="0" containsString="0" containsNumber="1" containsInteger="1" minValue="65" maxValue="95"/>
    </cacheField>
    <cacheField name="English Score" numFmtId="0">
      <sharedItems containsSemiMixedTypes="0" containsString="0" containsNumber="1" minValue="69" maxValue="92"/>
    </cacheField>
    <cacheField name="Science Score" numFmtId="0">
      <sharedItems containsSemiMixedTypes="0" containsString="0" containsNumber="1" containsInteger="1" minValue="68" maxValue="96"/>
    </cacheField>
    <cacheField name="Average Score" numFmtId="1">
      <sharedItems containsSemiMixedTypes="0" containsString="0" containsNumber="1" minValue="71" maxValue="95"/>
    </cacheField>
    <cacheField name="Performance" numFmtId="0">
      <sharedItems count="3">
        <s v="Excellent"/>
        <s v="Average"/>
        <s v="Good"/>
      </sharedItems>
    </cacheField>
    <cacheField name="Study Hours Group" numFmtId="0">
      <sharedItems/>
    </cacheField>
    <cacheField name="Attendance Group" numFmtId="0">
      <sharedItems count="3">
        <s v="85–94%"/>
        <s v="≥ 95%"/>
        <s v="&lt; 85%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s v="ST001"/>
    <s v="Male"/>
    <n v="4.5"/>
    <n v="92"/>
    <n v="85"/>
    <n v="78"/>
    <n v="88"/>
    <n v="85.75"/>
    <s v="Excellent"/>
    <x v="0"/>
  </r>
  <r>
    <s v="ST002"/>
    <s v="Female"/>
    <n v="6"/>
    <n v="96"/>
    <n v="91"/>
    <n v="89"/>
    <n v="94"/>
    <n v="92.5"/>
    <s v="Excellent"/>
    <x v="1"/>
  </r>
  <r>
    <s v="ST003"/>
    <s v="Male"/>
    <n v="2"/>
    <n v="81"/>
    <n v="70"/>
    <n v="73"/>
    <n v="68"/>
    <n v="73"/>
    <s v="Average"/>
    <x v="2"/>
  </r>
  <r>
    <s v="ST004"/>
    <s v="Female"/>
    <n v="5.5"/>
    <n v="94"/>
    <n v="88"/>
    <n v="92"/>
    <n v="86"/>
    <n v="90"/>
    <s v="Excellent"/>
    <x v="1"/>
  </r>
  <r>
    <s v="ST005"/>
    <s v="Male"/>
    <n v="3"/>
    <n v="85"/>
    <n v="76"/>
    <n v="71"/>
    <n v="74"/>
    <n v="76.5"/>
    <s v="Good"/>
    <x v="0"/>
  </r>
  <r>
    <s v="ST006"/>
    <s v="Female"/>
    <n v="7"/>
    <n v="98"/>
    <n v="95"/>
    <n v="91"/>
    <n v="96"/>
    <n v="95"/>
    <s v="Excellent"/>
    <x v="1"/>
  </r>
  <r>
    <s v="ST007"/>
    <s v="Male"/>
    <n v="4"/>
    <n v="89"/>
    <n v="82"/>
    <n v="80"/>
    <n v="84"/>
    <n v="83.75"/>
    <s v="Good"/>
    <x v="0"/>
  </r>
  <r>
    <s v="ST008"/>
    <s v="Female"/>
    <n v="2.5"/>
    <n v="78"/>
    <n v="65"/>
    <n v="69"/>
    <n v="72"/>
    <n v="71"/>
    <s v="Average"/>
    <x v="2"/>
  </r>
  <r>
    <s v="ST009"/>
    <s v="Male"/>
    <n v="5"/>
    <n v="93"/>
    <n v="87"/>
    <n v="84"/>
    <n v="90"/>
    <n v="88.5"/>
    <s v="Excellent"/>
    <x v="1"/>
  </r>
  <r>
    <s v="ST010"/>
    <s v="Female"/>
    <n v="3.5"/>
    <n v="87"/>
    <n v="79"/>
    <n v="82"/>
    <n v="77"/>
    <n v="81.25"/>
    <s v="Good"/>
    <x v="0"/>
  </r>
  <r>
    <s v="ST011"/>
    <s v="Female"/>
    <n v="4"/>
    <n v="91"/>
    <n v="84"/>
    <n v="79"/>
    <n v="86"/>
    <n v="85"/>
    <s v="Excellent"/>
    <x v="0"/>
  </r>
  <r>
    <s v="ST012"/>
    <s v="Male"/>
    <n v="5"/>
    <n v="95"/>
    <n v="89"/>
    <n v="85"/>
    <n v="91"/>
    <n v="90"/>
    <s v="Excellent"/>
    <x v="1"/>
  </r>
  <r>
    <s v="ST013"/>
    <s v="Female"/>
    <n v="3.5"/>
    <n v="88"/>
    <n v="78"/>
    <n v="81.083333333333329"/>
    <n v="80"/>
    <n v="81.770833333333329"/>
    <s v="Good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s v="ST001"/>
    <x v="0"/>
    <n v="4.5"/>
    <n v="92"/>
    <n v="85"/>
    <n v="78"/>
    <n v="88"/>
    <n v="85.75"/>
    <s v="Excellent"/>
  </r>
  <r>
    <s v="ST002"/>
    <x v="1"/>
    <n v="6"/>
    <n v="96"/>
    <n v="91"/>
    <n v="89"/>
    <n v="94"/>
    <n v="92.5"/>
    <s v="Excellent"/>
  </r>
  <r>
    <s v="ST003"/>
    <x v="0"/>
    <n v="2"/>
    <n v="81"/>
    <n v="70"/>
    <n v="73"/>
    <n v="68"/>
    <n v="73"/>
    <s v="Average"/>
  </r>
  <r>
    <s v="ST004"/>
    <x v="1"/>
    <n v="5.5"/>
    <n v="94"/>
    <n v="88"/>
    <n v="92"/>
    <n v="86"/>
    <n v="90"/>
    <s v="Excellent"/>
  </r>
  <r>
    <s v="ST005"/>
    <x v="0"/>
    <n v="3"/>
    <n v="85"/>
    <n v="76"/>
    <n v="71"/>
    <n v="74"/>
    <n v="76.5"/>
    <s v="Good"/>
  </r>
  <r>
    <s v="ST006"/>
    <x v="1"/>
    <n v="7"/>
    <n v="98"/>
    <n v="95"/>
    <n v="91"/>
    <n v="96"/>
    <n v="95"/>
    <s v="Excellent"/>
  </r>
  <r>
    <s v="ST007"/>
    <x v="0"/>
    <n v="4"/>
    <n v="89"/>
    <n v="82"/>
    <n v="80"/>
    <n v="84"/>
    <n v="83.75"/>
    <s v="Good"/>
  </r>
  <r>
    <s v="ST008"/>
    <x v="1"/>
    <n v="2.5"/>
    <n v="78"/>
    <n v="65"/>
    <n v="69"/>
    <n v="72"/>
    <n v="71"/>
    <s v="Average"/>
  </r>
  <r>
    <s v="ST009"/>
    <x v="0"/>
    <n v="5"/>
    <n v="93"/>
    <n v="87"/>
    <n v="84"/>
    <n v="90"/>
    <n v="88.5"/>
    <s v="Excellent"/>
  </r>
  <r>
    <s v="ST010"/>
    <x v="1"/>
    <n v="3.5"/>
    <n v="87"/>
    <n v="79"/>
    <n v="82"/>
    <n v="77"/>
    <n v="81.25"/>
    <s v="Good"/>
  </r>
  <r>
    <s v="ST011"/>
    <x v="1"/>
    <n v="4"/>
    <n v="91"/>
    <n v="84"/>
    <n v="79"/>
    <n v="86"/>
    <n v="85"/>
    <s v="Excellent"/>
  </r>
  <r>
    <s v="ST012"/>
    <x v="0"/>
    <n v="5"/>
    <n v="95"/>
    <n v="89"/>
    <n v="85"/>
    <n v="91"/>
    <n v="90"/>
    <s v="Excellent"/>
  </r>
  <r>
    <s v="ST013"/>
    <x v="1"/>
    <n v="3.5"/>
    <n v="88"/>
    <n v="78"/>
    <n v="81.083333333333329"/>
    <n v="80"/>
    <n v="81.770833333333329"/>
    <s v="Good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s v="ST001"/>
    <s v="Male"/>
    <n v="4.5"/>
    <x v="0"/>
    <n v="85"/>
    <n v="78"/>
    <n v="88"/>
    <n v="85.75"/>
    <x v="0"/>
    <s v="3–5 hours"/>
    <x v="0"/>
  </r>
  <r>
    <s v="ST002"/>
    <s v="Female"/>
    <n v="6"/>
    <x v="1"/>
    <n v="91"/>
    <n v="89"/>
    <n v="94"/>
    <n v="92.5"/>
    <x v="0"/>
    <s v="&gt; 5 hours"/>
    <x v="1"/>
  </r>
  <r>
    <s v="ST003"/>
    <s v="Male"/>
    <n v="2"/>
    <x v="2"/>
    <n v="70"/>
    <n v="73"/>
    <n v="68"/>
    <n v="73"/>
    <x v="1"/>
    <s v="&lt; 3 hours"/>
    <x v="2"/>
  </r>
  <r>
    <s v="ST004"/>
    <s v="Female"/>
    <n v="5.5"/>
    <x v="3"/>
    <n v="88"/>
    <n v="92"/>
    <n v="86"/>
    <n v="90"/>
    <x v="0"/>
    <s v="&gt; 5 hours"/>
    <x v="0"/>
  </r>
  <r>
    <s v="ST005"/>
    <s v="Male"/>
    <n v="3"/>
    <x v="4"/>
    <n v="76"/>
    <n v="71"/>
    <n v="74"/>
    <n v="76.5"/>
    <x v="2"/>
    <s v="3–5 hours"/>
    <x v="0"/>
  </r>
  <r>
    <s v="ST006"/>
    <s v="Female"/>
    <n v="7"/>
    <x v="5"/>
    <n v="95"/>
    <n v="91"/>
    <n v="96"/>
    <n v="95"/>
    <x v="0"/>
    <s v="&gt; 5 hours"/>
    <x v="1"/>
  </r>
  <r>
    <s v="ST007"/>
    <s v="Male"/>
    <n v="4"/>
    <x v="6"/>
    <n v="82"/>
    <n v="80"/>
    <n v="84"/>
    <n v="83.75"/>
    <x v="2"/>
    <s v="3–5 hours"/>
    <x v="0"/>
  </r>
  <r>
    <s v="ST008"/>
    <s v="Female"/>
    <n v="2.5"/>
    <x v="7"/>
    <n v="65"/>
    <n v="69"/>
    <n v="72"/>
    <n v="71"/>
    <x v="1"/>
    <s v="&lt; 3 hours"/>
    <x v="2"/>
  </r>
  <r>
    <s v="ST009"/>
    <s v="Male"/>
    <n v="5"/>
    <x v="8"/>
    <n v="87"/>
    <n v="84"/>
    <n v="90"/>
    <n v="88.5"/>
    <x v="0"/>
    <s v="&gt; 5 hours"/>
    <x v="0"/>
  </r>
  <r>
    <s v="ST010"/>
    <s v="Female"/>
    <n v="3.5"/>
    <x v="9"/>
    <n v="79"/>
    <n v="82"/>
    <n v="77"/>
    <n v="81.25"/>
    <x v="2"/>
    <s v="3–5 hours"/>
    <x v="0"/>
  </r>
  <r>
    <s v="ST011"/>
    <s v="Female"/>
    <n v="4"/>
    <x v="10"/>
    <n v="84"/>
    <n v="79"/>
    <n v="86"/>
    <n v="85"/>
    <x v="0"/>
    <s v="3–5 hours"/>
    <x v="0"/>
  </r>
  <r>
    <s v="ST012"/>
    <s v="Male"/>
    <n v="5"/>
    <x v="11"/>
    <n v="89"/>
    <n v="85"/>
    <n v="91"/>
    <n v="90"/>
    <x v="0"/>
    <s v="&gt; 5 hours"/>
    <x v="1"/>
  </r>
  <r>
    <s v="ST013"/>
    <s v="Female"/>
    <n v="3.5"/>
    <x v="12"/>
    <n v="78"/>
    <n v="81.083333333333329"/>
    <n v="80"/>
    <n v="81.770833333333329"/>
    <x v="2"/>
    <s v="3–5 hours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E58B71-829C-4D9A-9B90-3D62033983A5}" name="PivotTable1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A3:C4" firstHeaderRow="0" firstDataRow="1" firstDataCol="0"/>
  <pivotFields count="9">
    <pivotField showAll="0"/>
    <pivotField showAll="0"/>
    <pivotField showAll="0"/>
    <pivotField showAll="0"/>
    <pivotField dataField="1" showAll="0"/>
    <pivotField dataField="1" showAll="0"/>
    <pivotField showAll="0"/>
    <pivotField dataField="1" numFmtId="1" showAll="0"/>
    <pivotField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Average of Math Score" fld="4" subtotal="average" baseField="0" baseItem="0"/>
    <dataField name="Average of English Score" fld="5" subtotal="average" baseField="0" baseItem="1"/>
    <dataField name="Average of Average Score" fld="7" subtotal="average" baseField="0" baseItem="1" numFmtId="1"/>
  </dataFields>
  <chartFormats count="6"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8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099FF4-678B-43E7-A630-4C7C6F047FAD}" name="PivotTable2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6" firstHeaderRow="1" firstDataRow="1" firstDataCol="1"/>
  <pivotFields count="9"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dataField="1" numFmtId="1" showAll="0"/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Average of Average Score" fld="7" subtotal="average" baseField="1" baseItem="0" numFmtId="1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C48030-AFD3-4394-A982-63D566AF961C}" name="PivotTable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Study Hours">
  <location ref="A3:B7" firstHeaderRow="1" firstDataRow="1" firstDataCol="1"/>
  <pivotFields count="10">
    <pivotField showAll="0"/>
    <pivotField showAll="0"/>
    <pivotField showAll="0"/>
    <pivotField showAll="0"/>
    <pivotField showAll="0"/>
    <pivotField showAll="0"/>
    <pivotField showAll="0"/>
    <pivotField dataField="1" numFmtId="1" showAll="0"/>
    <pivotField showAll="0"/>
    <pivotField axis="axisRow" showAll="0">
      <items count="4">
        <item x="1"/>
        <item x="0"/>
        <item x="2"/>
        <item t="default"/>
      </items>
    </pivotField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Average Score" fld="7" subtotal="average" baseField="9" baseItem="0" numFmtId="1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645B32-5D14-4D37-88B5-BB219EB7D291}" name="PivotTable4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Attendance Row Labels">
  <location ref="A3:I9" firstHeaderRow="1" firstDataRow="3" firstDataCol="1"/>
  <pivotFields count="11">
    <pivotField dataField="1" showAll="0"/>
    <pivotField showAll="0"/>
    <pivotField showAll="0"/>
    <pivotField showAll="0"/>
    <pivotField showAll="0"/>
    <pivotField showAll="0"/>
    <pivotField showAll="0"/>
    <pivotField dataField="1" numFmtId="1" showAll="0"/>
    <pivotField axis="axisCol" showAll="0">
      <items count="4">
        <item x="1"/>
        <item x="0"/>
        <item x="2"/>
        <item t="default"/>
      </items>
    </pivotField>
    <pivotField showAll="0"/>
    <pivotField axis="axisRow" showAll="0">
      <items count="4">
        <item x="2"/>
        <item x="1"/>
        <item x="0"/>
        <item t="default"/>
      </items>
    </pivotField>
  </pivotFields>
  <rowFields count="1">
    <field x="10"/>
  </rowFields>
  <rowItems count="4">
    <i>
      <x/>
    </i>
    <i>
      <x v="1"/>
    </i>
    <i>
      <x v="2"/>
    </i>
    <i t="grand">
      <x/>
    </i>
  </rowItems>
  <colFields count="2">
    <field x="8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Average of Average Score" fld="7" subtotal="average" baseField="10" baseItem="0" numFmtId="1"/>
    <dataField name="Count of Student ID" fld="0" subtotal="count" baseField="0" baseItem="0"/>
  </dataFields>
  <chartFormats count="12">
    <chartFormat chart="7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7" format="1" series="1">
      <pivotArea type="data" outline="0" fieldPosition="0">
        <references count="2">
          <reference field="4294967294" count="1" selected="0">
            <x v="1"/>
          </reference>
          <reference field="8" count="1" selected="0">
            <x v="0"/>
          </reference>
        </references>
      </pivotArea>
    </chartFormat>
    <chartFormat chart="7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7" format="3" series="1">
      <pivotArea type="data" outline="0" fieldPosition="0">
        <references count="2">
          <reference field="4294967294" count="1" selected="0">
            <x v="1"/>
          </reference>
          <reference field="8" count="1" selected="0">
            <x v="1"/>
          </reference>
        </references>
      </pivotArea>
    </chartFormat>
    <chartFormat chart="7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7" format="5" series="1">
      <pivotArea type="data" outline="0" fieldPosition="0">
        <references count="2">
          <reference field="4294967294" count="1" selected="0">
            <x v="1"/>
          </reference>
          <reference field="8" count="1" selected="0">
            <x v="2"/>
          </reference>
        </references>
      </pivotArea>
    </chartFormat>
    <chartFormat chart="9" format="1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9" format="13" series="1">
      <pivotArea type="data" outline="0" fieldPosition="0">
        <references count="2">
          <reference field="4294967294" count="1" selected="0">
            <x v="1"/>
          </reference>
          <reference field="8" count="1" selected="0">
            <x v="0"/>
          </reference>
        </references>
      </pivotArea>
    </chartFormat>
    <chartFormat chart="9" format="1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9" format="15" series="1">
      <pivotArea type="data" outline="0" fieldPosition="0">
        <references count="2">
          <reference field="4294967294" count="1" selected="0">
            <x v="1"/>
          </reference>
          <reference field="8" count="1" selected="0">
            <x v="1"/>
          </reference>
        </references>
      </pivotArea>
    </chartFormat>
    <chartFormat chart="9" format="1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9" format="17" series="1">
      <pivotArea type="data" outline="0" fieldPosition="0">
        <references count="2">
          <reference field="4294967294" count="1" selected="0">
            <x v="1"/>
          </reference>
          <reference field="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9F2684-CAAF-4B96-8F30-F4ECAAD24CF5}" name="PivotTable6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 rowHeaderCaption="Performance">
  <location ref="A3:B7" firstHeaderRow="1" firstDataRow="1" firstDataCol="1"/>
  <pivotFields count="11">
    <pivotField dataField="1" showAll="0"/>
    <pivotField showAll="0"/>
    <pivotField showAll="0"/>
    <pivotField showAll="0"/>
    <pivotField showAll="0"/>
    <pivotField showAll="0"/>
    <pivotField showAll="0"/>
    <pivotField numFmtId="1" showAll="0"/>
    <pivotField axis="axisRow" showAll="0">
      <items count="4">
        <item x="1"/>
        <item x="0"/>
        <item x="2"/>
        <item t="default"/>
      </items>
    </pivotField>
    <pivotField showAll="0"/>
    <pivotField showAll="0"/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Student ID" fld="0" subtotal="count" baseField="0" baseItem="0"/>
  </dataFields>
  <chartFormats count="9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0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0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6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1" format="7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1" format="8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1E050-2CB1-43AF-9182-32E12E938D82}">
  <dimension ref="A1:G14"/>
  <sheetViews>
    <sheetView workbookViewId="0">
      <selection sqref="A1:G14"/>
    </sheetView>
  </sheetViews>
  <sheetFormatPr defaultRowHeight="14.5" x14ac:dyDescent="0.35"/>
  <sheetData>
    <row r="1" spans="1:7" ht="58" x14ac:dyDescent="0.35">
      <c r="A1" s="1" t="s">
        <v>0</v>
      </c>
      <c r="B1" s="1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5">
      <c r="A2" s="4" t="s">
        <v>7</v>
      </c>
      <c r="B2" s="4" t="s">
        <v>8</v>
      </c>
      <c r="C2" s="2" t="s">
        <v>9</v>
      </c>
      <c r="D2" s="2">
        <v>92</v>
      </c>
      <c r="E2" s="2">
        <v>85</v>
      </c>
      <c r="F2" s="2">
        <v>78</v>
      </c>
      <c r="G2" s="2">
        <v>88</v>
      </c>
    </row>
    <row r="3" spans="1:7" x14ac:dyDescent="0.35">
      <c r="A3" s="4" t="s">
        <v>10</v>
      </c>
      <c r="B3" s="4" t="s">
        <v>11</v>
      </c>
      <c r="C3" s="2" t="s">
        <v>12</v>
      </c>
      <c r="D3" s="2">
        <v>96</v>
      </c>
      <c r="E3" s="2">
        <v>91</v>
      </c>
      <c r="F3" s="2">
        <v>89</v>
      </c>
      <c r="G3" s="2">
        <v>94</v>
      </c>
    </row>
    <row r="4" spans="1:7" x14ac:dyDescent="0.35">
      <c r="A4" s="4" t="s">
        <v>13</v>
      </c>
      <c r="B4" s="4" t="s">
        <v>8</v>
      </c>
      <c r="C4" s="2" t="s">
        <v>14</v>
      </c>
      <c r="D4" s="2">
        <v>81</v>
      </c>
      <c r="E4" s="2">
        <v>70</v>
      </c>
      <c r="F4" s="2">
        <v>73</v>
      </c>
      <c r="G4" s="2">
        <v>68</v>
      </c>
    </row>
    <row r="5" spans="1:7" x14ac:dyDescent="0.35">
      <c r="A5" s="4" t="s">
        <v>15</v>
      </c>
      <c r="B5" s="4" t="s">
        <v>11</v>
      </c>
      <c r="C5" s="2" t="s">
        <v>16</v>
      </c>
      <c r="D5" s="2">
        <v>94</v>
      </c>
      <c r="E5" s="2">
        <v>88</v>
      </c>
      <c r="F5" s="2">
        <v>92</v>
      </c>
      <c r="G5" s="2">
        <v>86</v>
      </c>
    </row>
    <row r="6" spans="1:7" x14ac:dyDescent="0.35">
      <c r="A6" s="4" t="s">
        <v>17</v>
      </c>
      <c r="B6" s="4" t="s">
        <v>8</v>
      </c>
      <c r="C6" s="2" t="s">
        <v>18</v>
      </c>
      <c r="D6" s="2">
        <v>85</v>
      </c>
      <c r="E6" s="2">
        <v>76</v>
      </c>
      <c r="F6" s="2">
        <v>71</v>
      </c>
      <c r="G6" s="2">
        <v>74</v>
      </c>
    </row>
    <row r="7" spans="1:7" x14ac:dyDescent="0.35">
      <c r="A7" s="4" t="s">
        <v>19</v>
      </c>
      <c r="B7" s="4" t="s">
        <v>11</v>
      </c>
      <c r="C7" s="2" t="s">
        <v>20</v>
      </c>
      <c r="D7" s="2">
        <v>98</v>
      </c>
      <c r="E7" s="2">
        <v>95</v>
      </c>
      <c r="F7" s="2">
        <v>91</v>
      </c>
      <c r="G7" s="2">
        <v>96</v>
      </c>
    </row>
    <row r="8" spans="1:7" x14ac:dyDescent="0.35">
      <c r="A8" s="4" t="s">
        <v>21</v>
      </c>
      <c r="B8" s="4" t="s">
        <v>8</v>
      </c>
      <c r="C8" s="2" t="s">
        <v>22</v>
      </c>
      <c r="D8" s="2">
        <v>89</v>
      </c>
      <c r="E8" s="2">
        <v>82</v>
      </c>
      <c r="F8" s="2">
        <v>80</v>
      </c>
      <c r="G8" s="2">
        <v>84</v>
      </c>
    </row>
    <row r="9" spans="1:7" x14ac:dyDescent="0.35">
      <c r="A9" s="4" t="s">
        <v>23</v>
      </c>
      <c r="B9" s="4" t="s">
        <v>11</v>
      </c>
      <c r="C9" s="2" t="s">
        <v>24</v>
      </c>
      <c r="D9" s="2">
        <v>78</v>
      </c>
      <c r="E9" s="2">
        <v>65</v>
      </c>
      <c r="F9" s="2">
        <v>69</v>
      </c>
      <c r="G9" s="2">
        <v>72</v>
      </c>
    </row>
    <row r="10" spans="1:7" x14ac:dyDescent="0.35">
      <c r="A10" s="4" t="s">
        <v>25</v>
      </c>
      <c r="B10" s="4" t="s">
        <v>8</v>
      </c>
      <c r="C10" s="2" t="s">
        <v>26</v>
      </c>
      <c r="D10" s="2">
        <v>93</v>
      </c>
      <c r="E10" s="2">
        <v>87</v>
      </c>
      <c r="F10" s="2">
        <v>84</v>
      </c>
      <c r="G10" s="2">
        <v>90</v>
      </c>
    </row>
    <row r="11" spans="1:7" x14ac:dyDescent="0.35">
      <c r="A11" s="4" t="s">
        <v>27</v>
      </c>
      <c r="B11" s="4" t="s">
        <v>11</v>
      </c>
      <c r="C11" s="2" t="s">
        <v>28</v>
      </c>
      <c r="D11" s="2">
        <v>87</v>
      </c>
      <c r="E11" s="2">
        <v>79</v>
      </c>
      <c r="F11" s="2">
        <v>82</v>
      </c>
      <c r="G11" s="2">
        <v>77</v>
      </c>
    </row>
    <row r="12" spans="1:7" x14ac:dyDescent="0.35">
      <c r="A12" s="4" t="s">
        <v>29</v>
      </c>
      <c r="B12" s="4" t="s">
        <v>30</v>
      </c>
      <c r="C12" s="2" t="s">
        <v>22</v>
      </c>
      <c r="D12" s="2">
        <v>91</v>
      </c>
      <c r="E12" s="2">
        <v>84</v>
      </c>
      <c r="F12" s="2">
        <v>79</v>
      </c>
      <c r="G12" s="2">
        <v>86</v>
      </c>
    </row>
    <row r="13" spans="1:7" x14ac:dyDescent="0.35">
      <c r="A13" s="4" t="s">
        <v>31</v>
      </c>
      <c r="B13" s="4" t="s">
        <v>8</v>
      </c>
      <c r="C13" s="2" t="s">
        <v>26</v>
      </c>
      <c r="D13" s="2">
        <v>95</v>
      </c>
      <c r="E13" s="2">
        <v>189</v>
      </c>
      <c r="F13" s="2">
        <v>85</v>
      </c>
      <c r="G13" s="2">
        <v>91</v>
      </c>
    </row>
    <row r="14" spans="1:7" x14ac:dyDescent="0.35">
      <c r="A14" s="4" t="s">
        <v>32</v>
      </c>
      <c r="B14" s="4" t="s">
        <v>11</v>
      </c>
      <c r="C14" s="2" t="s">
        <v>28</v>
      </c>
      <c r="D14" s="2">
        <v>88</v>
      </c>
      <c r="E14" s="2">
        <v>78</v>
      </c>
      <c r="F14" s="2"/>
      <c r="G14" s="2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7B2B5-2F49-40D2-B610-1106C7AAC4FA}">
  <dimension ref="A1:K14"/>
  <sheetViews>
    <sheetView workbookViewId="0"/>
  </sheetViews>
  <sheetFormatPr defaultRowHeight="14.5" x14ac:dyDescent="0.35"/>
  <cols>
    <col min="6" max="6" width="11.26953125" bestFit="1" customWidth="1"/>
  </cols>
  <sheetData>
    <row r="1" spans="1:11" ht="58" x14ac:dyDescent="0.35">
      <c r="A1" s="1" t="s">
        <v>0</v>
      </c>
      <c r="B1" s="1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33</v>
      </c>
      <c r="I1" s="3" t="s">
        <v>34</v>
      </c>
      <c r="J1" s="3" t="s">
        <v>41</v>
      </c>
      <c r="K1" s="3" t="s">
        <v>46</v>
      </c>
    </row>
    <row r="2" spans="1:11" x14ac:dyDescent="0.35">
      <c r="A2" s="4" t="s">
        <v>7</v>
      </c>
      <c r="B2" s="4" t="s">
        <v>8</v>
      </c>
      <c r="C2" s="2">
        <v>4.5</v>
      </c>
      <c r="D2" s="2">
        <v>92</v>
      </c>
      <c r="E2" s="2">
        <v>85</v>
      </c>
      <c r="F2" s="2">
        <v>78</v>
      </c>
      <c r="G2" s="2">
        <v>88</v>
      </c>
      <c r="H2" s="5">
        <f>AVERAGE(D2:G2)</f>
        <v>85.75</v>
      </c>
      <c r="I2" t="str">
        <f>IF(H2&gt;=85,"Excellent",IF(H2&gt;=75,"Good",IF(H2&gt;=65,"Average","Needs Improvement")))</f>
        <v>Excellent</v>
      </c>
      <c r="J2" t="str">
        <f>IF(C2&lt;3,"&lt; 3 hours",IF(C2&lt;5,"3–5 hours","&gt; 5 hours"))</f>
        <v>3–5 hours</v>
      </c>
      <c r="K2" t="str">
        <f>IF(D2&lt;85,"&lt; 85%",IF(D2&lt;95,"85–94%","≥ 95%"))</f>
        <v>85–94%</v>
      </c>
    </row>
    <row r="3" spans="1:11" x14ac:dyDescent="0.35">
      <c r="A3" s="4" t="s">
        <v>10</v>
      </c>
      <c r="B3" s="4" t="s">
        <v>11</v>
      </c>
      <c r="C3" s="2">
        <v>6</v>
      </c>
      <c r="D3" s="2">
        <v>96</v>
      </c>
      <c r="E3" s="2">
        <v>91</v>
      </c>
      <c r="F3" s="2">
        <v>89</v>
      </c>
      <c r="G3" s="2">
        <v>94</v>
      </c>
      <c r="H3" s="5">
        <f t="shared" ref="H3:H14" si="0">AVERAGE(D3:G3)</f>
        <v>92.5</v>
      </c>
      <c r="I3" t="str">
        <f t="shared" ref="I3:I14" si="1">IF(H3&gt;=85,"Excellent",IF(H3&gt;=75,"Good",IF(H3&gt;=65,"Average","Needs Improvement")))</f>
        <v>Excellent</v>
      </c>
      <c r="J3" t="str">
        <f t="shared" ref="J3:J14" si="2">IF(C3&lt;3,"&lt; 3 hours",IF(C3&lt;5,"3–5 hours","&gt; 5 hours"))</f>
        <v>&gt; 5 hours</v>
      </c>
      <c r="K3" t="str">
        <f t="shared" ref="K3:K14" si="3">IF(D3&lt;85,"&lt; 85%",IF(D3&lt;95,"85–94%","≥ 95%"))</f>
        <v>≥ 95%</v>
      </c>
    </row>
    <row r="4" spans="1:11" x14ac:dyDescent="0.35">
      <c r="A4" s="4" t="s">
        <v>13</v>
      </c>
      <c r="B4" s="4" t="s">
        <v>8</v>
      </c>
      <c r="C4" s="2">
        <v>2</v>
      </c>
      <c r="D4" s="2">
        <v>81</v>
      </c>
      <c r="E4" s="2">
        <v>70</v>
      </c>
      <c r="F4" s="2">
        <v>73</v>
      </c>
      <c r="G4" s="2">
        <v>68</v>
      </c>
      <c r="H4" s="5">
        <f t="shared" si="0"/>
        <v>73</v>
      </c>
      <c r="I4" t="str">
        <f t="shared" si="1"/>
        <v>Average</v>
      </c>
      <c r="J4" t="str">
        <f t="shared" si="2"/>
        <v>&lt; 3 hours</v>
      </c>
      <c r="K4" t="str">
        <f t="shared" si="3"/>
        <v>&lt; 85%</v>
      </c>
    </row>
    <row r="5" spans="1:11" x14ac:dyDescent="0.35">
      <c r="A5" s="4" t="s">
        <v>15</v>
      </c>
      <c r="B5" s="4" t="s">
        <v>11</v>
      </c>
      <c r="C5" s="2">
        <v>5.5</v>
      </c>
      <c r="D5" s="2">
        <v>94</v>
      </c>
      <c r="E5" s="2">
        <v>88</v>
      </c>
      <c r="F5" s="2">
        <v>92</v>
      </c>
      <c r="G5" s="2">
        <v>86</v>
      </c>
      <c r="H5" s="5">
        <f t="shared" si="0"/>
        <v>90</v>
      </c>
      <c r="I5" t="str">
        <f t="shared" si="1"/>
        <v>Excellent</v>
      </c>
      <c r="J5" t="str">
        <f t="shared" si="2"/>
        <v>&gt; 5 hours</v>
      </c>
      <c r="K5" t="str">
        <f t="shared" si="3"/>
        <v>85–94%</v>
      </c>
    </row>
    <row r="6" spans="1:11" x14ac:dyDescent="0.35">
      <c r="A6" s="4" t="s">
        <v>17</v>
      </c>
      <c r="B6" s="4" t="s">
        <v>8</v>
      </c>
      <c r="C6" s="2">
        <v>3</v>
      </c>
      <c r="D6" s="2">
        <v>85</v>
      </c>
      <c r="E6" s="2">
        <v>76</v>
      </c>
      <c r="F6" s="2">
        <v>71</v>
      </c>
      <c r="G6" s="2">
        <v>74</v>
      </c>
      <c r="H6" s="5">
        <f t="shared" si="0"/>
        <v>76.5</v>
      </c>
      <c r="I6" t="str">
        <f t="shared" si="1"/>
        <v>Good</v>
      </c>
      <c r="J6" t="str">
        <f t="shared" si="2"/>
        <v>3–5 hours</v>
      </c>
      <c r="K6" t="str">
        <f t="shared" si="3"/>
        <v>85–94%</v>
      </c>
    </row>
    <row r="7" spans="1:11" x14ac:dyDescent="0.35">
      <c r="A7" s="4" t="s">
        <v>19</v>
      </c>
      <c r="B7" s="4" t="s">
        <v>11</v>
      </c>
      <c r="C7" s="2">
        <v>7</v>
      </c>
      <c r="D7" s="2">
        <v>98</v>
      </c>
      <c r="E7" s="2">
        <v>95</v>
      </c>
      <c r="F7" s="2">
        <v>91</v>
      </c>
      <c r="G7" s="2">
        <v>96</v>
      </c>
      <c r="H7" s="5">
        <f t="shared" si="0"/>
        <v>95</v>
      </c>
      <c r="I7" t="str">
        <f t="shared" si="1"/>
        <v>Excellent</v>
      </c>
      <c r="J7" t="str">
        <f t="shared" si="2"/>
        <v>&gt; 5 hours</v>
      </c>
      <c r="K7" t="str">
        <f t="shared" si="3"/>
        <v>≥ 95%</v>
      </c>
    </row>
    <row r="8" spans="1:11" x14ac:dyDescent="0.35">
      <c r="A8" s="4" t="s">
        <v>21</v>
      </c>
      <c r="B8" s="4" t="s">
        <v>8</v>
      </c>
      <c r="C8" s="2">
        <v>4</v>
      </c>
      <c r="D8" s="2">
        <v>89</v>
      </c>
      <c r="E8" s="2">
        <v>82</v>
      </c>
      <c r="F8" s="2">
        <v>80</v>
      </c>
      <c r="G8" s="2">
        <v>84</v>
      </c>
      <c r="H8" s="5">
        <f t="shared" si="0"/>
        <v>83.75</v>
      </c>
      <c r="I8" t="str">
        <f t="shared" si="1"/>
        <v>Good</v>
      </c>
      <c r="J8" t="str">
        <f t="shared" si="2"/>
        <v>3–5 hours</v>
      </c>
      <c r="K8" t="str">
        <f t="shared" si="3"/>
        <v>85–94%</v>
      </c>
    </row>
    <row r="9" spans="1:11" x14ac:dyDescent="0.35">
      <c r="A9" s="4" t="s">
        <v>23</v>
      </c>
      <c r="B9" s="4" t="s">
        <v>11</v>
      </c>
      <c r="C9" s="2">
        <v>2.5</v>
      </c>
      <c r="D9" s="2">
        <v>78</v>
      </c>
      <c r="E9" s="2">
        <v>65</v>
      </c>
      <c r="F9" s="2">
        <v>69</v>
      </c>
      <c r="G9" s="2">
        <v>72</v>
      </c>
      <c r="H9" s="5">
        <f t="shared" si="0"/>
        <v>71</v>
      </c>
      <c r="I9" t="str">
        <f t="shared" si="1"/>
        <v>Average</v>
      </c>
      <c r="J9" t="str">
        <f t="shared" si="2"/>
        <v>&lt; 3 hours</v>
      </c>
      <c r="K9" t="str">
        <f t="shared" si="3"/>
        <v>&lt; 85%</v>
      </c>
    </row>
    <row r="10" spans="1:11" x14ac:dyDescent="0.35">
      <c r="A10" s="4" t="s">
        <v>25</v>
      </c>
      <c r="B10" s="4" t="s">
        <v>8</v>
      </c>
      <c r="C10" s="2">
        <v>5</v>
      </c>
      <c r="D10" s="2">
        <v>93</v>
      </c>
      <c r="E10" s="2">
        <v>87</v>
      </c>
      <c r="F10" s="2">
        <v>84</v>
      </c>
      <c r="G10" s="2">
        <v>90</v>
      </c>
      <c r="H10" s="5">
        <f t="shared" si="0"/>
        <v>88.5</v>
      </c>
      <c r="I10" t="str">
        <f t="shared" si="1"/>
        <v>Excellent</v>
      </c>
      <c r="J10" t="str">
        <f t="shared" si="2"/>
        <v>&gt; 5 hours</v>
      </c>
      <c r="K10" t="str">
        <f t="shared" si="3"/>
        <v>85–94%</v>
      </c>
    </row>
    <row r="11" spans="1:11" x14ac:dyDescent="0.35">
      <c r="A11" s="4" t="s">
        <v>27</v>
      </c>
      <c r="B11" s="4" t="s">
        <v>11</v>
      </c>
      <c r="C11" s="2">
        <v>3.5</v>
      </c>
      <c r="D11" s="2">
        <v>87</v>
      </c>
      <c r="E11" s="2">
        <v>79</v>
      </c>
      <c r="F11" s="2">
        <v>82</v>
      </c>
      <c r="G11" s="2">
        <v>77</v>
      </c>
      <c r="H11" s="5">
        <f t="shared" si="0"/>
        <v>81.25</v>
      </c>
      <c r="I11" t="str">
        <f t="shared" si="1"/>
        <v>Good</v>
      </c>
      <c r="J11" t="str">
        <f t="shared" si="2"/>
        <v>3–5 hours</v>
      </c>
      <c r="K11" t="str">
        <f t="shared" si="3"/>
        <v>85–94%</v>
      </c>
    </row>
    <row r="12" spans="1:11" x14ac:dyDescent="0.35">
      <c r="A12" s="4" t="s">
        <v>29</v>
      </c>
      <c r="B12" s="4" t="s">
        <v>30</v>
      </c>
      <c r="C12" s="2">
        <v>4</v>
      </c>
      <c r="D12" s="2">
        <v>91</v>
      </c>
      <c r="E12" s="2">
        <v>84</v>
      </c>
      <c r="F12" s="2">
        <v>79</v>
      </c>
      <c r="G12" s="2">
        <v>86</v>
      </c>
      <c r="H12" s="5">
        <f t="shared" si="0"/>
        <v>85</v>
      </c>
      <c r="I12" t="str">
        <f t="shared" si="1"/>
        <v>Excellent</v>
      </c>
      <c r="J12" t="str">
        <f t="shared" si="2"/>
        <v>3–5 hours</v>
      </c>
      <c r="K12" t="str">
        <f t="shared" si="3"/>
        <v>85–94%</v>
      </c>
    </row>
    <row r="13" spans="1:11" x14ac:dyDescent="0.35">
      <c r="A13" s="4" t="s">
        <v>31</v>
      </c>
      <c r="B13" s="4" t="s">
        <v>8</v>
      </c>
      <c r="C13" s="2">
        <v>5</v>
      </c>
      <c r="D13" s="2">
        <v>95</v>
      </c>
      <c r="E13" s="2">
        <v>89</v>
      </c>
      <c r="F13" s="2">
        <v>85</v>
      </c>
      <c r="G13" s="2">
        <v>91</v>
      </c>
      <c r="H13" s="5">
        <f t="shared" si="0"/>
        <v>90</v>
      </c>
      <c r="I13" t="str">
        <f t="shared" si="1"/>
        <v>Excellent</v>
      </c>
      <c r="J13" t="str">
        <f t="shared" si="2"/>
        <v>&gt; 5 hours</v>
      </c>
      <c r="K13" t="str">
        <f t="shared" si="3"/>
        <v>≥ 95%</v>
      </c>
    </row>
    <row r="14" spans="1:11" x14ac:dyDescent="0.35">
      <c r="A14" s="4" t="s">
        <v>32</v>
      </c>
      <c r="B14" s="4" t="s">
        <v>11</v>
      </c>
      <c r="C14" s="2">
        <v>3.5</v>
      </c>
      <c r="D14" s="2">
        <v>88</v>
      </c>
      <c r="E14" s="2">
        <v>78</v>
      </c>
      <c r="F14" s="6">
        <f>AVERAGE(F2:F13)</f>
        <v>81.083333333333329</v>
      </c>
      <c r="G14" s="2">
        <v>80</v>
      </c>
      <c r="H14" s="5">
        <f t="shared" si="0"/>
        <v>81.770833333333329</v>
      </c>
      <c r="I14" t="str">
        <f t="shared" si="1"/>
        <v>Good</v>
      </c>
      <c r="J14" t="str">
        <f t="shared" si="2"/>
        <v>3–5 hours</v>
      </c>
      <c r="K14" t="str">
        <f t="shared" si="3"/>
        <v>85–94%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D5D3C-9233-4326-AA2E-47A9F0824925}">
  <dimension ref="A3:C4"/>
  <sheetViews>
    <sheetView workbookViewId="0">
      <selection activeCell="F13" sqref="F13"/>
    </sheetView>
  </sheetViews>
  <sheetFormatPr defaultRowHeight="14.5" x14ac:dyDescent="0.35"/>
  <cols>
    <col min="1" max="1" width="19.90625" bestFit="1" customWidth="1"/>
    <col min="2" max="2" width="21.26953125" bestFit="1" customWidth="1"/>
    <col min="3" max="3" width="22.1796875" bestFit="1" customWidth="1"/>
  </cols>
  <sheetData>
    <row r="3" spans="1:3" x14ac:dyDescent="0.35">
      <c r="A3" t="s">
        <v>35</v>
      </c>
      <c r="B3" t="s">
        <v>36</v>
      </c>
      <c r="C3" t="s">
        <v>37</v>
      </c>
    </row>
    <row r="4" spans="1:3" x14ac:dyDescent="0.35">
      <c r="A4" s="7">
        <v>82.230769230769226</v>
      </c>
      <c r="B4" s="7">
        <v>81.083333333333329</v>
      </c>
      <c r="C4" s="5">
        <v>84.155448717948715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CC2C9-1542-4233-B39C-158A8B22042F}">
  <dimension ref="A3:B8"/>
  <sheetViews>
    <sheetView workbookViewId="0">
      <selection activeCell="G15" sqref="G15"/>
    </sheetView>
  </sheetViews>
  <sheetFormatPr defaultRowHeight="14.5" x14ac:dyDescent="0.35"/>
  <cols>
    <col min="1" max="1" width="12.36328125" bestFit="1" customWidth="1"/>
    <col min="2" max="2" width="22.1796875" bestFit="1" customWidth="1"/>
  </cols>
  <sheetData>
    <row r="3" spans="1:2" x14ac:dyDescent="0.35">
      <c r="A3" s="8" t="s">
        <v>38</v>
      </c>
      <c r="B3" t="s">
        <v>37</v>
      </c>
    </row>
    <row r="4" spans="1:2" x14ac:dyDescent="0.35">
      <c r="A4" s="9" t="s">
        <v>11</v>
      </c>
      <c r="B4" s="5">
        <v>85.217261904761912</v>
      </c>
    </row>
    <row r="5" spans="1:2" x14ac:dyDescent="0.35">
      <c r="A5" s="9" t="s">
        <v>8</v>
      </c>
      <c r="B5" s="5">
        <v>82.916666666666671</v>
      </c>
    </row>
    <row r="6" spans="1:2" x14ac:dyDescent="0.35">
      <c r="A6" s="9" t="s">
        <v>39</v>
      </c>
      <c r="B6" s="5">
        <v>84.15544871794873</v>
      </c>
    </row>
    <row r="7" spans="1:2" x14ac:dyDescent="0.35">
      <c r="A7" s="9" t="s">
        <v>40</v>
      </c>
    </row>
    <row r="8" spans="1:2" x14ac:dyDescent="0.35">
      <c r="A8" s="9"/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FE5C8-C656-4FD2-9FD8-E76FA85FEFA3}">
  <dimension ref="A3:B9"/>
  <sheetViews>
    <sheetView workbookViewId="0">
      <selection activeCell="H13" sqref="H13"/>
    </sheetView>
  </sheetViews>
  <sheetFormatPr defaultRowHeight="14.5" x14ac:dyDescent="0.35"/>
  <cols>
    <col min="1" max="1" width="12.36328125" bestFit="1" customWidth="1"/>
    <col min="2" max="2" width="22.1796875" bestFit="1" customWidth="1"/>
  </cols>
  <sheetData>
    <row r="3" spans="1:2" x14ac:dyDescent="0.35">
      <c r="A3" s="8" t="s">
        <v>59</v>
      </c>
      <c r="B3" t="s">
        <v>37</v>
      </c>
    </row>
    <row r="4" spans="1:2" x14ac:dyDescent="0.35">
      <c r="A4" s="9" t="s">
        <v>42</v>
      </c>
      <c r="B4" s="5">
        <v>91.2</v>
      </c>
    </row>
    <row r="5" spans="1:2" x14ac:dyDescent="0.35">
      <c r="A5" s="9" t="s">
        <v>43</v>
      </c>
      <c r="B5" s="5">
        <v>82.336805555555557</v>
      </c>
    </row>
    <row r="6" spans="1:2" x14ac:dyDescent="0.35">
      <c r="A6" s="9" t="s">
        <v>44</v>
      </c>
      <c r="B6" s="5">
        <v>72</v>
      </c>
    </row>
    <row r="7" spans="1:2" x14ac:dyDescent="0.35">
      <c r="A7" s="9" t="s">
        <v>39</v>
      </c>
      <c r="B7" s="5">
        <v>84.15544871794873</v>
      </c>
    </row>
    <row r="8" spans="1:2" x14ac:dyDescent="0.35">
      <c r="A8" s="9" t="s">
        <v>45</v>
      </c>
    </row>
    <row r="9" spans="1:2" x14ac:dyDescent="0.35">
      <c r="A9" s="9"/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006B1-B91D-481B-B48E-B57F34FF1FE5}">
  <dimension ref="A3:I11"/>
  <sheetViews>
    <sheetView topLeftCell="A3" workbookViewId="0">
      <selection activeCell="F16" sqref="F16"/>
    </sheetView>
  </sheetViews>
  <sheetFormatPr defaultRowHeight="14.5" x14ac:dyDescent="0.35"/>
  <cols>
    <col min="1" max="1" width="12.36328125" bestFit="1" customWidth="1"/>
    <col min="2" max="2" width="22.1796875" bestFit="1" customWidth="1"/>
    <col min="3" max="3" width="17.6328125" bestFit="1" customWidth="1"/>
    <col min="4" max="4" width="22.1796875" bestFit="1" customWidth="1"/>
    <col min="5" max="5" width="17.6328125" bestFit="1" customWidth="1"/>
    <col min="6" max="6" width="22.1796875" bestFit="1" customWidth="1"/>
    <col min="7" max="7" width="17.6328125" bestFit="1" customWidth="1"/>
    <col min="8" max="8" width="27" bestFit="1" customWidth="1"/>
    <col min="9" max="9" width="22.453125" bestFit="1" customWidth="1"/>
  </cols>
  <sheetData>
    <row r="3" spans="1:9" x14ac:dyDescent="0.35">
      <c r="B3" s="8" t="s">
        <v>50</v>
      </c>
    </row>
    <row r="4" spans="1:9" x14ac:dyDescent="0.35">
      <c r="B4" t="s">
        <v>51</v>
      </c>
      <c r="D4" t="s">
        <v>52</v>
      </c>
      <c r="F4" t="s">
        <v>53</v>
      </c>
      <c r="H4" t="s">
        <v>54</v>
      </c>
      <c r="I4" t="s">
        <v>55</v>
      </c>
    </row>
    <row r="5" spans="1:9" x14ac:dyDescent="0.35">
      <c r="A5" s="8" t="s">
        <v>57</v>
      </c>
      <c r="B5" t="s">
        <v>37</v>
      </c>
      <c r="C5" t="s">
        <v>56</v>
      </c>
      <c r="D5" t="s">
        <v>37</v>
      </c>
      <c r="E5" t="s">
        <v>56</v>
      </c>
      <c r="F5" t="s">
        <v>37</v>
      </c>
      <c r="G5" t="s">
        <v>56</v>
      </c>
    </row>
    <row r="6" spans="1:9" x14ac:dyDescent="0.35">
      <c r="A6" s="9" t="s">
        <v>47</v>
      </c>
      <c r="B6" s="5">
        <v>72</v>
      </c>
      <c r="C6" s="7">
        <v>2</v>
      </c>
      <c r="D6" s="5"/>
      <c r="E6" s="7"/>
      <c r="F6" s="5"/>
      <c r="G6" s="7"/>
      <c r="H6" s="5">
        <v>72</v>
      </c>
      <c r="I6" s="7">
        <v>2</v>
      </c>
    </row>
    <row r="7" spans="1:9" x14ac:dyDescent="0.35">
      <c r="A7" s="9" t="s">
        <v>48</v>
      </c>
      <c r="B7" s="5"/>
      <c r="C7" s="7"/>
      <c r="D7" s="5">
        <v>92.5</v>
      </c>
      <c r="E7" s="7">
        <v>3</v>
      </c>
      <c r="F7" s="5"/>
      <c r="G7" s="7"/>
      <c r="H7" s="5">
        <v>92.5</v>
      </c>
      <c r="I7" s="7">
        <v>3</v>
      </c>
    </row>
    <row r="8" spans="1:9" x14ac:dyDescent="0.35">
      <c r="A8" s="9" t="s">
        <v>49</v>
      </c>
      <c r="B8" s="5"/>
      <c r="C8" s="7"/>
      <c r="D8" s="5">
        <v>87.3125</v>
      </c>
      <c r="E8" s="7">
        <v>4</v>
      </c>
      <c r="F8" s="5">
        <v>80.817708333333329</v>
      </c>
      <c r="G8" s="7">
        <v>4</v>
      </c>
      <c r="H8" s="5">
        <v>84.065104166666671</v>
      </c>
      <c r="I8" s="7">
        <v>8</v>
      </c>
    </row>
    <row r="9" spans="1:9" x14ac:dyDescent="0.35">
      <c r="A9" s="9" t="s">
        <v>39</v>
      </c>
      <c r="B9" s="5">
        <v>72</v>
      </c>
      <c r="C9" s="7">
        <v>2</v>
      </c>
      <c r="D9" s="5">
        <v>89.535714285714292</v>
      </c>
      <c r="E9" s="7">
        <v>7</v>
      </c>
      <c r="F9" s="5">
        <v>80.817708333333329</v>
      </c>
      <c r="G9" s="7">
        <v>4</v>
      </c>
      <c r="H9" s="5">
        <v>84.15544871794873</v>
      </c>
      <c r="I9" s="7">
        <v>13</v>
      </c>
    </row>
    <row r="10" spans="1:9" x14ac:dyDescent="0.35">
      <c r="A10" t="s">
        <v>58</v>
      </c>
    </row>
    <row r="11" spans="1:9" x14ac:dyDescent="0.35">
      <c r="A11" s="9"/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B0F54-A5A2-46EE-AAA0-A33A94068032}">
  <dimension ref="A3:B7"/>
  <sheetViews>
    <sheetView workbookViewId="0">
      <selection activeCell="L17" sqref="L17"/>
    </sheetView>
  </sheetViews>
  <sheetFormatPr defaultRowHeight="14.5" x14ac:dyDescent="0.35"/>
  <cols>
    <col min="1" max="1" width="13.90625" bestFit="1" customWidth="1"/>
    <col min="2" max="2" width="17.6328125" bestFit="1" customWidth="1"/>
  </cols>
  <sheetData>
    <row r="3" spans="1:2" x14ac:dyDescent="0.35">
      <c r="A3" s="8" t="s">
        <v>34</v>
      </c>
      <c r="B3" t="s">
        <v>56</v>
      </c>
    </row>
    <row r="4" spans="1:2" x14ac:dyDescent="0.35">
      <c r="A4" s="9" t="s">
        <v>51</v>
      </c>
      <c r="B4" s="7">
        <v>2</v>
      </c>
    </row>
    <row r="5" spans="1:2" x14ac:dyDescent="0.35">
      <c r="A5" s="9" t="s">
        <v>52</v>
      </c>
      <c r="B5" s="7">
        <v>7</v>
      </c>
    </row>
    <row r="6" spans="1:2" x14ac:dyDescent="0.35">
      <c r="A6" s="9" t="s">
        <v>53</v>
      </c>
      <c r="B6" s="7">
        <v>4</v>
      </c>
    </row>
    <row r="7" spans="1:2" x14ac:dyDescent="0.35">
      <c r="A7" s="9" t="s">
        <v>39</v>
      </c>
      <c r="B7" s="7">
        <v>13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A56A9-31DE-4F73-A121-B217336BAF8E}">
  <dimension ref="A1"/>
  <sheetViews>
    <sheetView tabSelected="1" topLeftCell="A8" workbookViewId="0">
      <selection activeCell="N22" sqref="N22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Raw Data</vt:lpstr>
      <vt:lpstr>Cleaned Data</vt:lpstr>
      <vt:lpstr>Analysis</vt:lpstr>
      <vt:lpstr>Gender Analysis</vt:lpstr>
      <vt:lpstr>Study Hours Analysis</vt:lpstr>
      <vt:lpstr>Attendance Analysis</vt:lpstr>
      <vt:lpstr>Performance Analysis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Marvel Giuesepe</dc:creator>
  <cp:lastModifiedBy>Marvel Giuesepe</cp:lastModifiedBy>
  <dcterms:created xsi:type="dcterms:W3CDTF">2026-08-18T19:33:45Z</dcterms:created>
  <dcterms:modified xsi:type="dcterms:W3CDTF">2026-08-18T20:41:15Z</dcterms:modified>
</cp:coreProperties>
</file>